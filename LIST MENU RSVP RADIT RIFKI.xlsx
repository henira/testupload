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fan\OneDrive\Documents\"/>
    </mc:Choice>
  </mc:AlternateContent>
  <xr:revisionPtr revIDLastSave="0" documentId="13_ncr:1_{2E6AC22B-1835-42FF-A0B6-90C1CCEDB0B3}" xr6:coauthVersionLast="47" xr6:coauthVersionMax="47" xr10:uidLastSave="{00000000-0000-0000-0000-000000000000}"/>
  <bookViews>
    <workbookView xWindow="-110" yWindow="-110" windowWidth="19420" windowHeight="10300" xr2:uid="{58285176-2BBD-4289-9472-9B092C1D9953}"/>
  </bookViews>
  <sheets>
    <sheet name="Sheet1" sheetId="1" r:id="rId1"/>
    <sheet name="DB Har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E22" i="1"/>
  <c r="D40" i="1"/>
  <c r="D39" i="1"/>
  <c r="D34" i="1"/>
  <c r="D35" i="1"/>
  <c r="D36" i="1"/>
  <c r="D37" i="1"/>
  <c r="D38" i="1"/>
  <c r="D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F26" i="1" l="1"/>
  <c r="E26" i="1"/>
  <c r="E29" i="1"/>
  <c r="E27" i="1" l="1"/>
  <c r="G31" i="1" s="1"/>
  <c r="E28" i="1" l="1"/>
</calcChain>
</file>

<file path=xl/sharedStrings.xml><?xml version="1.0" encoding="utf-8"?>
<sst xmlns="http://schemas.openxmlformats.org/spreadsheetml/2006/main" count="115" uniqueCount="64">
  <si>
    <t>No</t>
  </si>
  <si>
    <t>Nama</t>
  </si>
  <si>
    <t>Makanan</t>
  </si>
  <si>
    <t>Minuman</t>
  </si>
  <si>
    <t>Kelapa Muda</t>
  </si>
  <si>
    <t>Irfan Raditya H</t>
  </si>
  <si>
    <t>Febri A</t>
  </si>
  <si>
    <t>Iga Bakar</t>
  </si>
  <si>
    <t>Neni S</t>
  </si>
  <si>
    <t>Es Jeruk</t>
  </si>
  <si>
    <t>Sandi Maulana</t>
  </si>
  <si>
    <t>Hafidz Rafael Caesaryo</t>
  </si>
  <si>
    <t>Kartika Agung Wahyudi</t>
  </si>
  <si>
    <t>Yohei Takahshi</t>
  </si>
  <si>
    <t>Nasi Goreng Iga</t>
  </si>
  <si>
    <t>Hesti</t>
  </si>
  <si>
    <t>Aan Haryadi</t>
  </si>
  <si>
    <t>Maulana Ibrahim</t>
  </si>
  <si>
    <t>Nasi Goreng Seafood</t>
  </si>
  <si>
    <t>Muhammad Ichsan</t>
  </si>
  <si>
    <t>Rita Astuti</t>
  </si>
  <si>
    <t>M Irfan</t>
  </si>
  <si>
    <t xml:space="preserve">Rifki </t>
  </si>
  <si>
    <t>LUTHFI GHINAN JUNANTO</t>
  </si>
  <si>
    <t>MUKHLISIN</t>
  </si>
  <si>
    <t xml:space="preserve">KELIK WIJANARKO </t>
  </si>
  <si>
    <t>Air Putih Mineral</t>
  </si>
  <si>
    <t xml:space="preserve">M Umam </t>
  </si>
  <si>
    <t>Ikan Gurame Bakar</t>
  </si>
  <si>
    <t xml:space="preserve">Ghesa A </t>
  </si>
  <si>
    <t>Supporting Menu</t>
  </si>
  <si>
    <t>Fakhru Rozi</t>
  </si>
  <si>
    <t xml:space="preserve">Paket Tapak Bebek Goreng </t>
  </si>
  <si>
    <t>Ayam bakar Bumbu Kecap</t>
  </si>
  <si>
    <t>Ikan Gurame Goreng</t>
  </si>
  <si>
    <t xml:space="preserve">Ikan Wader </t>
  </si>
  <si>
    <t xml:space="preserve">Tumis Kangkung </t>
  </si>
  <si>
    <t>tambahan snack nya:</t>
  </si>
  <si>
    <t>ikan wader 5 (@22) : 110</t>
  </si>
  <si>
    <t>tumis kangkung 5 (@17) : 85</t>
  </si>
  <si>
    <t>sate lilit (5  tusuk) 5 (@20) : 100</t>
  </si>
  <si>
    <t>mendoan 5 (@17) : 85</t>
  </si>
  <si>
    <t>tahu goreng 5 (@12) : 60</t>
  </si>
  <si>
    <t xml:space="preserve">pisang goreng  5 (@17) : 85 </t>
  </si>
  <si>
    <t>total 525</t>
  </si>
  <si>
    <t>Tempe Mendoan</t>
  </si>
  <si>
    <t>Pisang Goreng</t>
  </si>
  <si>
    <t>Nasi Putih 1/2</t>
  </si>
  <si>
    <t>Nasi Bakul</t>
  </si>
  <si>
    <t>Teh Tarik Dingin</t>
  </si>
  <si>
    <t>Harga Makanan</t>
  </si>
  <si>
    <t>Harga Minuman</t>
  </si>
  <si>
    <t>qty</t>
  </si>
  <si>
    <t>NO</t>
  </si>
  <si>
    <t>Total</t>
  </si>
  <si>
    <t>Reguler</t>
  </si>
  <si>
    <t>Supporting</t>
  </si>
  <si>
    <t>SUBTOTAL</t>
  </si>
  <si>
    <t>Maulana Ramdhani</t>
  </si>
  <si>
    <t>Sate Lilit (5 Tusuk)</t>
  </si>
  <si>
    <t>Pete Goreng</t>
  </si>
  <si>
    <t>Dani Pamungkas</t>
  </si>
  <si>
    <t>TBA</t>
  </si>
  <si>
    <t>Tahu 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</si>
</sst>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[$IDR]\ #,##0"/>
    <numFmt numFmtId="172" formatCode="[$IDR]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0" tint="-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ck">
        <color auto="1"/>
      </right>
      <top/>
      <bottom style="dashed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ouble">
        <color indexed="64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ill="1" applyBorder="1"/>
    <xf numFmtId="0" fontId="0" fillId="0" borderId="0" xfId="0" applyFill="1" applyBorder="1"/>
    <xf numFmtId="0" fontId="0" fillId="2" borderId="0" xfId="0" applyFill="1" applyBorder="1"/>
    <xf numFmtId="170" fontId="0" fillId="0" borderId="0" xfId="0" applyNumberFormat="1"/>
    <xf numFmtId="172" fontId="0" fillId="0" borderId="0" xfId="0" applyNumberFormat="1"/>
    <xf numFmtId="172" fontId="2" fillId="0" borderId="0" xfId="0" applyNumberFormat="1" applyFont="1"/>
    <xf numFmtId="172" fontId="1" fillId="0" borderId="0" xfId="0" applyNumberFormat="1" applyFont="1"/>
    <xf numFmtId="170" fontId="0" fillId="0" borderId="0" xfId="0" applyNumberFormat="1" applyFill="1" applyBorder="1"/>
    <xf numFmtId="0" fontId="0" fillId="0" borderId="2" xfId="0" applyBorder="1" applyAlignment="1">
      <alignment vertical="center" wrapText="1"/>
    </xf>
    <xf numFmtId="0" fontId="0" fillId="2" borderId="3" xfId="0" applyFill="1" applyBorder="1"/>
    <xf numFmtId="0" fontId="0" fillId="2" borderId="4" xfId="0" applyFill="1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  <xf numFmtId="0" fontId="0" fillId="0" borderId="4" xfId="0" applyFill="1" applyBorder="1"/>
    <xf numFmtId="0" fontId="0" fillId="0" borderId="2" xfId="0" applyBorder="1"/>
    <xf numFmtId="0" fontId="0" fillId="0" borderId="5" xfId="0" applyBorder="1"/>
    <xf numFmtId="0" fontId="0" fillId="2" borderId="6" xfId="0" applyFill="1" applyBorder="1"/>
    <xf numFmtId="0" fontId="0" fillId="0" borderId="7" xfId="0" applyFill="1" applyBorder="1"/>
    <xf numFmtId="0" fontId="0" fillId="0" borderId="8" xfId="0" applyBorder="1" applyAlignment="1">
      <alignment vertical="center" wrapText="1"/>
    </xf>
    <xf numFmtId="0" fontId="0" fillId="2" borderId="9" xfId="0" applyFill="1" applyBorder="1"/>
    <xf numFmtId="0" fontId="0" fillId="2" borderId="10" xfId="0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6FDA-6838-44A4-8CB4-F40B27335C15}">
  <dimension ref="A1:G40"/>
  <sheetViews>
    <sheetView tabSelected="1" topLeftCell="A16" zoomScale="70" zoomScaleNormal="70" workbookViewId="0">
      <selection activeCell="J33" sqref="J33"/>
    </sheetView>
  </sheetViews>
  <sheetFormatPr defaultRowHeight="14.5" x14ac:dyDescent="0.35"/>
  <cols>
    <col min="1" max="1" width="3.08984375" bestFit="1" customWidth="1"/>
    <col min="2" max="2" width="22.08984375" bestFit="1" customWidth="1"/>
    <col min="3" max="3" width="17.7265625" bestFit="1" customWidth="1"/>
    <col min="4" max="4" width="14" bestFit="1" customWidth="1"/>
    <col min="5" max="5" width="14.90625" bestFit="1" customWidth="1"/>
    <col min="6" max="6" width="13.1796875" bestFit="1" customWidth="1"/>
    <col min="7" max="7" width="14.7265625" bestFit="1" customWidth="1"/>
  </cols>
  <sheetData>
    <row r="1" spans="1:6" ht="30" thickTop="1" thickBot="1" x14ac:dyDescent="0.4">
      <c r="A1" s="24" t="s">
        <v>0</v>
      </c>
      <c r="B1" s="25" t="s">
        <v>1</v>
      </c>
      <c r="C1" s="25" t="s">
        <v>2</v>
      </c>
      <c r="D1" s="26" t="s">
        <v>3</v>
      </c>
      <c r="E1" s="1" t="s">
        <v>50</v>
      </c>
      <c r="F1" s="1" t="s">
        <v>51</v>
      </c>
    </row>
    <row r="2" spans="1:6" ht="15" thickTop="1" x14ac:dyDescent="0.35">
      <c r="A2" s="21">
        <v>1</v>
      </c>
      <c r="B2" s="22" t="s">
        <v>22</v>
      </c>
      <c r="C2" s="22" t="s">
        <v>32</v>
      </c>
      <c r="D2" s="23" t="s">
        <v>4</v>
      </c>
      <c r="E2" s="6">
        <f>IFERROR(VLOOKUP(C2,'DB Harga'!A:B,2,FALSE),0)</f>
        <v>42000</v>
      </c>
      <c r="F2" s="6">
        <f>IFERROR(VLOOKUP(TRIM(D2),'DB Harga'!A:B,2,FALSE),0)</f>
        <v>20000</v>
      </c>
    </row>
    <row r="3" spans="1:6" x14ac:dyDescent="0.35">
      <c r="A3" s="10">
        <v>2</v>
      </c>
      <c r="B3" s="13" t="s">
        <v>5</v>
      </c>
      <c r="C3" s="11" t="s">
        <v>32</v>
      </c>
      <c r="D3" s="14" t="s">
        <v>49</v>
      </c>
      <c r="E3" s="6">
        <f>IFERROR(VLOOKUP(C3,'DB Harga'!A:B,2,FALSE),0)</f>
        <v>42000</v>
      </c>
      <c r="F3" s="6">
        <f>IFERROR(VLOOKUP(TRIM(D3),'DB Harga'!A:B,2,FALSE),0)</f>
        <v>16000</v>
      </c>
    </row>
    <row r="4" spans="1:6" x14ac:dyDescent="0.35">
      <c r="A4" s="10">
        <v>3</v>
      </c>
      <c r="B4" s="11" t="s">
        <v>6</v>
      </c>
      <c r="C4" s="11" t="s">
        <v>7</v>
      </c>
      <c r="D4" s="12" t="s">
        <v>49</v>
      </c>
      <c r="E4" s="6">
        <f>IFERROR(VLOOKUP(C4,'DB Harga'!A:B,2,FALSE),0)</f>
        <v>60000</v>
      </c>
      <c r="F4" s="6">
        <f>IFERROR(VLOOKUP(TRIM(D4),'DB Harga'!A:B,2,FALSE),0)</f>
        <v>16000</v>
      </c>
    </row>
    <row r="5" spans="1:6" x14ac:dyDescent="0.35">
      <c r="A5" s="10">
        <v>4</v>
      </c>
      <c r="B5" s="13" t="s">
        <v>8</v>
      </c>
      <c r="C5" s="13" t="s">
        <v>7</v>
      </c>
      <c r="D5" s="14" t="s">
        <v>9</v>
      </c>
      <c r="E5" s="6">
        <f>IFERROR(VLOOKUP(C5,'DB Harga'!A:B,2,FALSE),0)</f>
        <v>60000</v>
      </c>
      <c r="F5" s="6">
        <f>IFERROR(VLOOKUP(TRIM(D5),'DB Harga'!A:B,2,FALSE),0)</f>
        <v>12000</v>
      </c>
    </row>
    <row r="6" spans="1:6" x14ac:dyDescent="0.35">
      <c r="A6" s="10">
        <v>5</v>
      </c>
      <c r="B6" s="11" t="s">
        <v>23</v>
      </c>
      <c r="C6" s="11" t="s">
        <v>7</v>
      </c>
      <c r="D6" s="12" t="s">
        <v>4</v>
      </c>
      <c r="E6" s="6">
        <f>IFERROR(VLOOKUP(C6,'DB Harga'!A:B,2,FALSE),0)</f>
        <v>60000</v>
      </c>
      <c r="F6" s="6">
        <f>IFERROR(VLOOKUP(TRIM(D6),'DB Harga'!A:B,2,FALSE),0)</f>
        <v>20000</v>
      </c>
    </row>
    <row r="7" spans="1:6" x14ac:dyDescent="0.35">
      <c r="A7" s="10">
        <v>6</v>
      </c>
      <c r="B7" s="13" t="s">
        <v>10</v>
      </c>
      <c r="C7" s="13" t="s">
        <v>7</v>
      </c>
      <c r="D7" s="14" t="s">
        <v>9</v>
      </c>
      <c r="E7" s="6">
        <f>IFERROR(VLOOKUP(C7,'DB Harga'!A:B,2,FALSE),0)</f>
        <v>60000</v>
      </c>
      <c r="F7" s="6">
        <f>IFERROR(VLOOKUP(TRIM(D7),'DB Harga'!A:B,2,FALSE),0)</f>
        <v>12000</v>
      </c>
    </row>
    <row r="8" spans="1:6" x14ac:dyDescent="0.35">
      <c r="A8" s="10">
        <v>7</v>
      </c>
      <c r="B8" s="11" t="s">
        <v>11</v>
      </c>
      <c r="C8" s="11" t="s">
        <v>28</v>
      </c>
      <c r="D8" s="12" t="s">
        <v>26</v>
      </c>
      <c r="E8" s="6">
        <f>IFERROR(VLOOKUP(C8,'DB Harga'!A:B,2,FALSE),0)</f>
        <v>97000</v>
      </c>
      <c r="F8" s="6">
        <f>IFERROR(VLOOKUP(TRIM(D8),'DB Harga'!A:B,2,FALSE),0)</f>
        <v>6000</v>
      </c>
    </row>
    <row r="9" spans="1:6" x14ac:dyDescent="0.35">
      <c r="A9" s="10">
        <v>8</v>
      </c>
      <c r="B9" s="13" t="s">
        <v>12</v>
      </c>
      <c r="C9" s="13" t="s">
        <v>33</v>
      </c>
      <c r="D9" s="14" t="s">
        <v>4</v>
      </c>
      <c r="E9" s="6">
        <f>IFERROR(VLOOKUP(C9,'DB Harga'!A:B,2,FALSE),0)</f>
        <v>36000</v>
      </c>
      <c r="F9" s="6">
        <f>IFERROR(VLOOKUP(TRIM(D9),'DB Harga'!A:B,2,FALSE),0)</f>
        <v>20000</v>
      </c>
    </row>
    <row r="10" spans="1:6" x14ac:dyDescent="0.35">
      <c r="A10" s="10">
        <v>9</v>
      </c>
      <c r="B10" s="11" t="s">
        <v>13</v>
      </c>
      <c r="C10" s="11" t="s">
        <v>14</v>
      </c>
      <c r="D10" s="12" t="s">
        <v>26</v>
      </c>
      <c r="E10" s="6">
        <f>IFERROR(VLOOKUP(C10,'DB Harga'!A:B,2,FALSE),0)</f>
        <v>32000</v>
      </c>
      <c r="F10" s="6">
        <f>IFERROR(VLOOKUP(TRIM(D10),'DB Harga'!A:B,2,FALSE),0)</f>
        <v>6000</v>
      </c>
    </row>
    <row r="11" spans="1:6" x14ac:dyDescent="0.35">
      <c r="A11" s="10">
        <v>10</v>
      </c>
      <c r="B11" s="13" t="s">
        <v>15</v>
      </c>
      <c r="C11" s="13" t="s">
        <v>14</v>
      </c>
      <c r="D11" s="14" t="s">
        <v>4</v>
      </c>
      <c r="E11" s="6">
        <f>IFERROR(VLOOKUP(C11,'DB Harga'!A:B,2,FALSE),0)</f>
        <v>32000</v>
      </c>
      <c r="F11" s="6">
        <f>IFERROR(VLOOKUP(TRIM(D11),'DB Harga'!A:B,2,FALSE),0)</f>
        <v>20000</v>
      </c>
    </row>
    <row r="12" spans="1:6" x14ac:dyDescent="0.35">
      <c r="A12" s="10">
        <v>11</v>
      </c>
      <c r="B12" s="11" t="s">
        <v>24</v>
      </c>
      <c r="C12" s="13" t="s">
        <v>34</v>
      </c>
      <c r="D12" s="12" t="s">
        <v>4</v>
      </c>
      <c r="E12" s="6">
        <f>IFERROR(VLOOKUP(C12,'DB Harga'!A:B,2,FALSE),0)</f>
        <v>82000</v>
      </c>
      <c r="F12" s="6">
        <f>IFERROR(VLOOKUP(TRIM(D12),'DB Harga'!A:B,2,FALSE),0)</f>
        <v>20000</v>
      </c>
    </row>
    <row r="13" spans="1:6" x14ac:dyDescent="0.35">
      <c r="A13" s="10">
        <v>12</v>
      </c>
      <c r="B13" s="13" t="s">
        <v>16</v>
      </c>
      <c r="C13" s="13" t="s">
        <v>7</v>
      </c>
      <c r="D13" s="14" t="s">
        <v>4</v>
      </c>
      <c r="E13" s="6">
        <f>IFERROR(VLOOKUP(C13,'DB Harga'!A:B,2,FALSE),0)</f>
        <v>60000</v>
      </c>
      <c r="F13" s="6">
        <f>IFERROR(VLOOKUP(TRIM(D13),'DB Harga'!A:B,2,FALSE),0)</f>
        <v>20000</v>
      </c>
    </row>
    <row r="14" spans="1:6" x14ac:dyDescent="0.35">
      <c r="A14" s="10">
        <v>13</v>
      </c>
      <c r="B14" s="11" t="s">
        <v>17</v>
      </c>
      <c r="C14" s="11" t="s">
        <v>18</v>
      </c>
      <c r="D14" s="12" t="s">
        <v>26</v>
      </c>
      <c r="E14" s="6">
        <f>IFERROR(VLOOKUP(C14,'DB Harga'!A:B,2,FALSE),0)</f>
        <v>34000</v>
      </c>
      <c r="F14" s="6">
        <f>IFERROR(VLOOKUP(TRIM(D14),'DB Harga'!A:B,2,FALSE),0)</f>
        <v>6000</v>
      </c>
    </row>
    <row r="15" spans="1:6" x14ac:dyDescent="0.35">
      <c r="A15" s="10">
        <v>14</v>
      </c>
      <c r="B15" s="13" t="s">
        <v>19</v>
      </c>
      <c r="C15" s="13" t="s">
        <v>14</v>
      </c>
      <c r="D15" s="14" t="s">
        <v>4</v>
      </c>
      <c r="E15" s="6">
        <f>IFERROR(VLOOKUP(C15,'DB Harga'!A:B,2,FALSE),0)</f>
        <v>32000</v>
      </c>
      <c r="F15" s="6">
        <f>IFERROR(VLOOKUP(TRIM(D15),'DB Harga'!A:B,2,FALSE),0)</f>
        <v>20000</v>
      </c>
    </row>
    <row r="16" spans="1:6" x14ac:dyDescent="0.35">
      <c r="A16" s="10">
        <v>15</v>
      </c>
      <c r="B16" s="11" t="s">
        <v>20</v>
      </c>
      <c r="C16" s="11" t="s">
        <v>32</v>
      </c>
      <c r="D16" s="14" t="s">
        <v>4</v>
      </c>
      <c r="E16" s="6">
        <f>IFERROR(VLOOKUP(C16,'DB Harga'!A:B,2,FALSE),0)</f>
        <v>42000</v>
      </c>
      <c r="F16" s="6">
        <f>IFERROR(VLOOKUP(TRIM(D16),'DB Harga'!A:B,2,FALSE),0)</f>
        <v>20000</v>
      </c>
    </row>
    <row r="17" spans="1:7" x14ac:dyDescent="0.35">
      <c r="A17" s="10">
        <v>16</v>
      </c>
      <c r="B17" s="13" t="s">
        <v>25</v>
      </c>
      <c r="C17" s="13" t="s">
        <v>14</v>
      </c>
      <c r="D17" s="14" t="s">
        <v>4</v>
      </c>
      <c r="E17" s="6">
        <f>IFERROR(VLOOKUP(C17,'DB Harga'!A:B,2,FALSE),0)</f>
        <v>32000</v>
      </c>
      <c r="F17" s="6">
        <f>IFERROR(VLOOKUP(TRIM(D17),'DB Harga'!A:B,2,FALSE),0)</f>
        <v>20000</v>
      </c>
    </row>
    <row r="18" spans="1:7" x14ac:dyDescent="0.35">
      <c r="A18" s="10">
        <v>17</v>
      </c>
      <c r="B18" s="11" t="s">
        <v>21</v>
      </c>
      <c r="C18" s="11" t="s">
        <v>32</v>
      </c>
      <c r="D18" s="12" t="s">
        <v>4</v>
      </c>
      <c r="E18" s="6">
        <f>IFERROR(VLOOKUP(C18,'DB Harga'!A:B,2,FALSE),0)</f>
        <v>42000</v>
      </c>
      <c r="F18" s="6">
        <f>IFERROR(VLOOKUP(TRIM(D18),'DB Harga'!A:B,2,FALSE),0)</f>
        <v>20000</v>
      </c>
    </row>
    <row r="19" spans="1:7" x14ac:dyDescent="0.35">
      <c r="A19" s="10">
        <v>18</v>
      </c>
      <c r="B19" s="15" t="s">
        <v>27</v>
      </c>
      <c r="C19" s="15" t="s">
        <v>28</v>
      </c>
      <c r="D19" s="16" t="s">
        <v>4</v>
      </c>
      <c r="E19" s="6">
        <f>IFERROR(VLOOKUP(C19,'DB Harga'!A:B,2,FALSE),0)</f>
        <v>97000</v>
      </c>
      <c r="F19" s="6">
        <f>IFERROR(VLOOKUP(TRIM(D19),'DB Harga'!A:B,2,FALSE),0)</f>
        <v>20000</v>
      </c>
    </row>
    <row r="20" spans="1:7" x14ac:dyDescent="0.35">
      <c r="A20" s="10">
        <v>19</v>
      </c>
      <c r="B20" s="11" t="s">
        <v>29</v>
      </c>
      <c r="C20" s="11" t="s">
        <v>28</v>
      </c>
      <c r="D20" s="16" t="s">
        <v>4</v>
      </c>
      <c r="E20" s="6">
        <f>IFERROR(VLOOKUP(C20,'DB Harga'!A:B,2,FALSE),0)</f>
        <v>97000</v>
      </c>
      <c r="F20" s="6">
        <f>IFERROR(VLOOKUP(TRIM(D20),'DB Harga'!A:B,2,FALSE),0)</f>
        <v>20000</v>
      </c>
    </row>
    <row r="21" spans="1:7" x14ac:dyDescent="0.35">
      <c r="A21" s="10">
        <v>20</v>
      </c>
      <c r="B21" s="15" t="s">
        <v>31</v>
      </c>
      <c r="C21" s="15" t="s">
        <v>28</v>
      </c>
      <c r="D21" s="16" t="s">
        <v>4</v>
      </c>
      <c r="E21" s="6">
        <f>IFERROR(VLOOKUP(C21,'DB Harga'!A:B,2,FALSE),0)</f>
        <v>97000</v>
      </c>
      <c r="F21" s="6">
        <f>IFERROR(VLOOKUP(TRIM(D21),'DB Harga'!A:B,2,FALSE),0)</f>
        <v>20000</v>
      </c>
    </row>
    <row r="22" spans="1:7" x14ac:dyDescent="0.35">
      <c r="A22" s="17">
        <v>21</v>
      </c>
      <c r="B22" s="11" t="s">
        <v>58</v>
      </c>
      <c r="C22" s="11" t="s">
        <v>7</v>
      </c>
      <c r="D22" s="16" t="s">
        <v>4</v>
      </c>
      <c r="E22" s="6">
        <f>IFERROR(VLOOKUP(C22,'DB Harga'!A:B,2,FALSE),0)</f>
        <v>60000</v>
      </c>
      <c r="F22" s="6">
        <f>IFERROR(VLOOKUP(TRIM(D22),'DB Harga'!A:B,2,FALSE),0)</f>
        <v>20000</v>
      </c>
    </row>
    <row r="23" spans="1:7" x14ac:dyDescent="0.35">
      <c r="A23" s="10">
        <v>22</v>
      </c>
      <c r="B23" s="11" t="s">
        <v>61</v>
      </c>
      <c r="C23" s="11" t="s">
        <v>62</v>
      </c>
      <c r="D23" s="16" t="s">
        <v>62</v>
      </c>
      <c r="E23" s="6"/>
      <c r="F23" s="6"/>
    </row>
    <row r="24" spans="1:7" x14ac:dyDescent="0.35">
      <c r="A24" s="17"/>
      <c r="B24" s="11"/>
      <c r="C24" s="11"/>
      <c r="D24" s="16"/>
      <c r="E24" s="6"/>
      <c r="F24" s="6"/>
    </row>
    <row r="25" spans="1:7" ht="15" thickBot="1" x14ac:dyDescent="0.4">
      <c r="A25" s="18"/>
      <c r="B25" s="19"/>
      <c r="C25" s="19"/>
      <c r="D25" s="20"/>
      <c r="E25" s="6"/>
      <c r="F25" s="6"/>
    </row>
    <row r="26" spans="1:7" ht="15" thickTop="1" x14ac:dyDescent="0.35">
      <c r="B26" s="4"/>
      <c r="C26" s="4"/>
      <c r="D26" s="3"/>
      <c r="E26" s="6">
        <f>SUM(E2:E24)</f>
        <v>1196000</v>
      </c>
      <c r="F26" s="6">
        <f>SUM(F2:F24)</f>
        <v>354000</v>
      </c>
    </row>
    <row r="27" spans="1:7" x14ac:dyDescent="0.35">
      <c r="D27" t="s">
        <v>55</v>
      </c>
      <c r="E27" s="8">
        <f>+E26+F26</f>
        <v>1550000</v>
      </c>
    </row>
    <row r="28" spans="1:7" x14ac:dyDescent="0.35">
      <c r="E28" s="7">
        <f>E27+(E27*15%)</f>
        <v>1782500</v>
      </c>
    </row>
    <row r="29" spans="1:7" x14ac:dyDescent="0.35">
      <c r="D29" t="s">
        <v>56</v>
      </c>
      <c r="E29" s="8">
        <f>SUM(D33:D48)</f>
        <v>632000</v>
      </c>
    </row>
    <row r="30" spans="1:7" x14ac:dyDescent="0.35">
      <c r="E30" s="6"/>
    </row>
    <row r="31" spans="1:7" x14ac:dyDescent="0.35">
      <c r="F31" t="s">
        <v>57</v>
      </c>
      <c r="G31" s="8">
        <f>(E27+E29)*1.15</f>
        <v>2509300</v>
      </c>
    </row>
    <row r="32" spans="1:7" x14ac:dyDescent="0.35">
      <c r="A32" t="s">
        <v>53</v>
      </c>
      <c r="B32" t="s">
        <v>30</v>
      </c>
      <c r="C32" t="s">
        <v>52</v>
      </c>
      <c r="D32" t="s">
        <v>54</v>
      </c>
    </row>
    <row r="33" spans="1:4" x14ac:dyDescent="0.35">
      <c r="A33">
        <v>1</v>
      </c>
      <c r="B33" t="s">
        <v>35</v>
      </c>
      <c r="C33">
        <v>3</v>
      </c>
      <c r="D33" s="6">
        <f>IFERROR(C33*VLOOKUP(B33,'DB Harga'!A:B,2,FALSE),0)</f>
        <v>66000</v>
      </c>
    </row>
    <row r="34" spans="1:4" x14ac:dyDescent="0.35">
      <c r="A34">
        <v>2</v>
      </c>
      <c r="B34" t="s">
        <v>36</v>
      </c>
      <c r="C34">
        <v>3</v>
      </c>
      <c r="D34" s="6">
        <f>IFERROR(C34*VLOOKUP(B34,'DB Harga'!A:B,2,FALSE),0)</f>
        <v>51000</v>
      </c>
    </row>
    <row r="35" spans="1:4" x14ac:dyDescent="0.35">
      <c r="A35">
        <v>3</v>
      </c>
      <c r="B35" t="s">
        <v>59</v>
      </c>
      <c r="C35">
        <v>6</v>
      </c>
      <c r="D35" s="6">
        <f>IFERROR(C35*VLOOKUP(B35,'DB Harga'!A:B,2,FALSE),0)</f>
        <v>120000</v>
      </c>
    </row>
    <row r="36" spans="1:4" x14ac:dyDescent="0.35">
      <c r="A36">
        <v>4</v>
      </c>
      <c r="B36" t="s">
        <v>45</v>
      </c>
      <c r="C36">
        <v>6</v>
      </c>
      <c r="D36" s="6">
        <f>IFERROR(C36*VLOOKUP(B36,'DB Harga'!A:B,2,FALSE),0)</f>
        <v>102000</v>
      </c>
    </row>
    <row r="37" spans="1:4" x14ac:dyDescent="0.35">
      <c r="A37">
        <v>5</v>
      </c>
      <c r="B37" t="s">
        <v>63</v>
      </c>
      <c r="C37">
        <v>5</v>
      </c>
      <c r="D37" s="6">
        <f>IFERROR(C37*VLOOKUP(B37,'DB Harga'!A:B,2,FALSE),0)</f>
        <v>85000</v>
      </c>
    </row>
    <row r="38" spans="1:4" x14ac:dyDescent="0.35">
      <c r="A38">
        <v>6</v>
      </c>
      <c r="B38" t="s">
        <v>46</v>
      </c>
      <c r="C38">
        <v>6</v>
      </c>
      <c r="D38" s="6">
        <f>IFERROR(C38*VLOOKUP(B38,'DB Harga'!A:B,2,FALSE),0)</f>
        <v>102000</v>
      </c>
    </row>
    <row r="39" spans="1:4" x14ac:dyDescent="0.35">
      <c r="A39">
        <v>7</v>
      </c>
      <c r="B39" t="s">
        <v>47</v>
      </c>
      <c r="C39">
        <v>12</v>
      </c>
      <c r="D39" s="6">
        <f>IFERROR(C39*VLOOKUP(B39,'DB Harga'!A:B,2,FALSE),0)</f>
        <v>84000</v>
      </c>
    </row>
    <row r="40" spans="1:4" x14ac:dyDescent="0.35">
      <c r="A40">
        <v>8</v>
      </c>
      <c r="B40" t="s">
        <v>48</v>
      </c>
      <c r="C40">
        <v>1</v>
      </c>
      <c r="D40" s="6">
        <f>IFERROR(C40*VLOOKUP(B40,'DB Harga'!A:B,2,FALSE),0)</f>
        <v>22000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1D39-D2BC-401F-8302-4F2C5EF59684}">
  <dimension ref="A1:I20"/>
  <sheetViews>
    <sheetView topLeftCell="A5" workbookViewId="0">
      <selection activeCell="A12" sqref="A12"/>
    </sheetView>
  </sheetViews>
  <sheetFormatPr defaultRowHeight="14.5" x14ac:dyDescent="0.35"/>
  <cols>
    <col min="1" max="1" width="22.81640625" bestFit="1" customWidth="1"/>
    <col min="2" max="2" width="9.54296875" bestFit="1" customWidth="1"/>
  </cols>
  <sheetData>
    <row r="1" spans="1:9" x14ac:dyDescent="0.35">
      <c r="A1" t="s">
        <v>32</v>
      </c>
      <c r="B1" s="5">
        <v>42000</v>
      </c>
    </row>
    <row r="2" spans="1:9" x14ac:dyDescent="0.35">
      <c r="A2" t="s">
        <v>7</v>
      </c>
      <c r="B2" s="5">
        <v>60000</v>
      </c>
    </row>
    <row r="3" spans="1:9" x14ac:dyDescent="0.35">
      <c r="A3" t="s">
        <v>33</v>
      </c>
      <c r="B3" s="5">
        <v>36000</v>
      </c>
    </row>
    <row r="4" spans="1:9" x14ac:dyDescent="0.35">
      <c r="A4" t="s">
        <v>14</v>
      </c>
      <c r="B4" s="5">
        <v>32000</v>
      </c>
      <c r="I4" t="s">
        <v>37</v>
      </c>
    </row>
    <row r="5" spans="1:9" x14ac:dyDescent="0.35">
      <c r="A5" t="s">
        <v>28</v>
      </c>
      <c r="B5" s="5">
        <v>97000</v>
      </c>
      <c r="I5" t="s">
        <v>38</v>
      </c>
    </row>
    <row r="6" spans="1:9" x14ac:dyDescent="0.35">
      <c r="A6" t="s">
        <v>34</v>
      </c>
      <c r="B6" s="5">
        <v>82000</v>
      </c>
      <c r="I6" t="s">
        <v>39</v>
      </c>
    </row>
    <row r="7" spans="1:9" x14ac:dyDescent="0.35">
      <c r="A7" t="s">
        <v>35</v>
      </c>
      <c r="B7" s="5">
        <v>22000</v>
      </c>
      <c r="I7" t="s">
        <v>40</v>
      </c>
    </row>
    <row r="8" spans="1:9" x14ac:dyDescent="0.35">
      <c r="A8" t="s">
        <v>36</v>
      </c>
      <c r="B8" s="5">
        <v>17000</v>
      </c>
      <c r="I8" t="s">
        <v>41</v>
      </c>
    </row>
    <row r="9" spans="1:9" x14ac:dyDescent="0.35">
      <c r="A9" t="s">
        <v>18</v>
      </c>
      <c r="B9" s="5">
        <v>34000</v>
      </c>
      <c r="I9" t="s">
        <v>42</v>
      </c>
    </row>
    <row r="10" spans="1:9" x14ac:dyDescent="0.35">
      <c r="A10" t="s">
        <v>45</v>
      </c>
      <c r="B10" s="5">
        <v>17000</v>
      </c>
      <c r="I10" t="s">
        <v>43</v>
      </c>
    </row>
    <row r="11" spans="1:9" x14ac:dyDescent="0.35">
      <c r="A11" t="s">
        <v>63</v>
      </c>
      <c r="B11" s="5">
        <v>17000</v>
      </c>
    </row>
    <row r="12" spans="1:9" x14ac:dyDescent="0.35">
      <c r="A12" t="s">
        <v>46</v>
      </c>
      <c r="B12" s="5">
        <v>17000</v>
      </c>
      <c r="I12" t="s">
        <v>44</v>
      </c>
    </row>
    <row r="13" spans="1:9" x14ac:dyDescent="0.35">
      <c r="A13" t="s">
        <v>59</v>
      </c>
      <c r="B13" s="5">
        <v>20000</v>
      </c>
    </row>
    <row r="14" spans="1:9" x14ac:dyDescent="0.35">
      <c r="A14" t="s">
        <v>47</v>
      </c>
      <c r="B14" s="5">
        <v>7000</v>
      </c>
    </row>
    <row r="15" spans="1:9" x14ac:dyDescent="0.35">
      <c r="A15" t="s">
        <v>48</v>
      </c>
      <c r="B15" s="5">
        <v>22000</v>
      </c>
    </row>
    <row r="16" spans="1:9" x14ac:dyDescent="0.35">
      <c r="A16" t="s">
        <v>49</v>
      </c>
      <c r="B16" s="5">
        <v>16000</v>
      </c>
    </row>
    <row r="17" spans="1:2" x14ac:dyDescent="0.35">
      <c r="A17" s="2" t="s">
        <v>26</v>
      </c>
      <c r="B17" s="5">
        <v>6000</v>
      </c>
    </row>
    <row r="18" spans="1:2" x14ac:dyDescent="0.35">
      <c r="A18" t="s">
        <v>4</v>
      </c>
      <c r="B18" s="5">
        <v>20000</v>
      </c>
    </row>
    <row r="19" spans="1:2" x14ac:dyDescent="0.35">
      <c r="A19" t="s">
        <v>9</v>
      </c>
      <c r="B19" s="5">
        <v>12000</v>
      </c>
    </row>
    <row r="20" spans="1:2" x14ac:dyDescent="0.35">
      <c r="A20" t="s">
        <v>60</v>
      </c>
      <c r="B20" s="9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DB Harga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SHAFA SALSABILA</dc:creator>
  <cp:lastModifiedBy>ALYA SHAFA SALSABILA</cp:lastModifiedBy>
  <dcterms:created xsi:type="dcterms:W3CDTF">2026-02-08T13:06:17Z</dcterms:created>
  <dcterms:modified xsi:type="dcterms:W3CDTF">2026-02-08T14:30:28Z</dcterms:modified>
</cp:coreProperties>
</file>